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SantanderBootcamp\Excel\desafio_de_projeto\"/>
    </mc:Choice>
  </mc:AlternateContent>
  <xr:revisionPtr revIDLastSave="0" documentId="13_ncr:1_{7B6C9E84-75D3-444E-B35B-9B375FF4BA45}" xr6:coauthVersionLast="47" xr6:coauthVersionMax="47" xr10:uidLastSave="{00000000-0000-0000-0000-000000000000}"/>
  <bookViews>
    <workbookView xWindow="-120" yWindow="-120" windowWidth="29040" windowHeight="15720" tabRatio="430" activeTab="1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3" l="1"/>
  <c r="G21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<sst xmlns="http://schemas.openxmlformats.org/spreadsheetml/2006/main" count="2022" uniqueCount="324">
  <si>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</si>
  <si>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</si>
  <si>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</si>
  <si>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</si>
  <si>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</si>
  <si>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</si>
  <si>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</si>
  <si>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</si>
  <si>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</si>
  <si>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</si>
  <si>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</si>
  <si>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</si>
  <si>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</si>
  <si>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</si>
  <si>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</si>
  <si>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</si>
  <si>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</si>
  <si>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</si>
  <si>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</si>
  <si>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</si>
  <si>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</si>
  <si>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</si>
  <si>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</si>
  <si>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</si>
  <si>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</si>
  <si>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</si>
  <si>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</si>
  <si>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</si>
  <si>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</si>
  <si>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</si>
  <si>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</si>
  <si>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</si>
  <si>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</si>
  <si>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</si>
  <si>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</si>
  <si>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</si>
  <si>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</si>
  <si>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</si>
  <si>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</si>
  <si>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</si>
  <si>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</si>
  <si>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</si>
  <si>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</si>
  <si>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</si>
  <si>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</si>
  <si>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</si>
  <si>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</si>
  <si>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</si>
  <si>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</si>
  <si>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</si>
  <si>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</si>
  <si>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</si>
  <si>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</si>
  <si>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</si>
  <si>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</si>
  <si>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</si>
  <si>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</si>
  <si>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</si>
  <si>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</si>
  <si>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</si>
  <si>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</si>
  <si>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</si>
  <si>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</si>
  <si>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</si>
  <si>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</si>
  <si>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</si>
  <si>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</si>
  <si>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</si>
  <si>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</si>
  <si>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</si>
  <si>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</si>
  <si>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</si>
  <si>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</si>
  <si>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</si>
  <si>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</si>
  <si>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</si>
  <si>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</si>
  <si>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</si>
  <si>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</si>
  <si>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</si>
  <si>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</si>
  <si>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</si>
  <si>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</si>
  <si>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</si>
  <si>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</si>
  <si>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</si>
  <si>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</si>
  <si>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</si>
  <si>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</si>
  <si>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</si>
  <si>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</si>
  <si>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</si>
  <si>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</si>
  <si>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</si>
  <si>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</si>
  <si>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</si>
  <si>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</si>
  <si>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</si>
  <si>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</si>
  <si>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</si>
  <si>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</si>
  <si>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</si>
  <si>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</si>
  <si>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</si>
  <si>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</si>
  <si>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</si>
  <si>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</si>
  <si>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</si>
  <si>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</si>
  <si>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</si>
  <si>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</si>
  <si>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</si>
  <si>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</si>
  <si>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</si>
  <si>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</si>
  <si>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</si>
  <si>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</si>
  <si>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</si>
  <si>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</si>
  <si>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</si>
  <si>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</si>
  <si>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</si>
  <si>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</si>
  <si>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</si>
  <si>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</si>
  <si>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</si>
  <si>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</si>
  <si>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</si>
  <si>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</si>
  <si>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</si>
  <si>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</si>
  <si>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</si>
  <si>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</si>
  <si>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</si>
  <si>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</si>
  <si>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</si>
  <si>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</si>
  <si>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</si>
  <si>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</si>
  <si>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</si>
  <si>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</si>
  <si>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</si>
  <si>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</si>
  <si>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</si>
  <si>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</si>
  <si>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</si>
  <si>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</si>
  <si>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</si>
  <si>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</si>
  <si>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</si>
  <si>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</si>
  <si>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</si>
  <si>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</si>
  <si>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</si>
  <si>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</si>
  <si>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</si>
  <si>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</si>
  <si>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</si>
  <si>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</si>
  <si>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</si>
  <si>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</si>
  <si>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</si>
  <si>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</si>
  <si>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</si>
  <si>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</si>
  <si>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</si>
  <si>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</si>
  <si>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</si>
  <si>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</si>
  <si>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</si>
  <si>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</si>
  <si>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</si>
  <si>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</si>
  <si>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</si>
  <si>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</si>
  <si>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</si>
  <si>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</si>
  <si>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</si>
  <si>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</si>
  <si>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</si>
  <si>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</si>
  <si>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</si>
  <si>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</si>
  <si>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</si>
  <si>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</si>
  <si>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</si>
  <si>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</si>
  <si>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</si>
  <si>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</si>
  <si>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</si>
  <si>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</si>
  <si>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</si>
  <si>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</si>
  <si>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</si>
  <si>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</si>
  <si>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</si>
  <si>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</si>
  <si>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</si>
  <si>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</si>
  <si>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</si>
  <si>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</si>
  <si>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</si>
  <si>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</si>
  <si>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</si>
  <si>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</si>
  <si>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</si>
  <si>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</si>
  <si>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</si>
  <si>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</si>
  <si>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</si>
  <si>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</si>
  <si>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</si>
  <si>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</si>
  <si>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</si>
  <si>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</si>
  <si>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</si>
  <si>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</si>
  <si>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</si>
  <si>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</si>
  <si>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</si>
  <si>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</si>
  <si>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</si>
  <si>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</si>
  <si>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</si>
  <si>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</si>
  <si>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</si>
  <si>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</si>
  <si>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</si>
  <si>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</si>
  <si>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</si>
  <si>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</si>
  <si>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</si>
  <si>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</si>
  <si>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</si>
  <si>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</si>
  <si>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</si>
  <si>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</si>
  <si>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</si>
  <si>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</si>
  <si>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</si>
  <si>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</si>
  <si>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</si>
  <si>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</si>
  <si>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</si>
  <si>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</si>
  <si>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</si>
  <si>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</si>
  <si>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</si>
  <si>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</si>
  <si>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</si>
  <si>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</si>
  <si>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</si>
  <si>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</si>
  <si>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</si>
  <si>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</si>
  <si>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</si>
  <si>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</si>
  <si>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</si>
  <si>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</si>
  <si>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</si>
  <si>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</si>
  <si>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</si>
  <si>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</si>
  <si>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</si>
  <si>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</si>
  <si>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</si>
  <si>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</si>
  <si>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</si>
  <si>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</si>
  <si>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</si>
  <si>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</si>
  <si>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</si>
  <si>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</si>
  <si>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</si>
  <si>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</si>
  <si>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</si>
  <si>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</si>
  <si>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</si>
  <si>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</si>
  <si>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</si>
  <si>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</si>
  <si>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</si>
  <si>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</si>
  <si>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</si>
  <si>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</si>
  <si>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</si>
  <si>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</si>
  <si>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</si>
  <si>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</si>
  <si>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</si>
  <si>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</si>
  <si>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</si>
  <si>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</si>
  <si>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</si>
  <si>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</si>
  <si>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</si>
  <si>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</si>
  <si>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</si>
  <si>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</si>
  <si>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</si>
  <si>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</si>
  <si>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</si>
  <si>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</si>
  <si>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</si>
  <si>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</si>
  <si>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</si>
  <si>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</si>
  <si>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</si>
  <si>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</si>
  <si>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</si>
  <si>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</si>
  <si>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</si>
  <si>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</si>
  <si>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</si>
  <si>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</si>
  <si>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</si>
  <si>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agregadas)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</si>
  <si>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separado por </t>
    </r>
    <r>
      <rPr>
        <b/>
        <sz val="11"/>
        <color theme="1"/>
        <rFont val="Aptos Narrow"/>
        <family val="2"/>
        <scheme val="minor"/>
      </rPr>
      <t>auto renovação  ou não</t>
    </r>
  </si>
  <si>
    <t>XBOX GAME PASS SUBSCRIPTIONS SALES</t>
  </si>
  <si>
    <t>Pergunta de negócio 3 - Total de vendas da assinatura do EA Play</t>
  </si>
  <si>
    <t>Soma de EA Play Season Pass</t>
  </si>
  <si>
    <t>Pergunta de negócio 4 - Total de vendas de assinaturas do Minecraft season pass</t>
  </si>
  <si>
    <t>Soma de Minecraft Season Pass Price2</t>
  </si>
  <si>
    <t>Calculation period: 01/01/2024 - 31/12/2024 | Update date: 19/01/2026 10:20:00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</si>
</sst>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rgb="FF22C55E"/>
      <name val="Segoe UI"/>
      <family val="2"/>
    </font>
    <font>
      <sz val="11"/>
      <color rgb="FF22C55E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2AE6B1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/>
    <xf numFmtId="0" fontId="0" fillId="7" borderId="2" xfId="0" applyFill="1" applyBorder="1"/>
    <xf numFmtId="0" fontId="0" fillId="0" borderId="0" xfId="0" applyBorder="1"/>
    <xf numFmtId="0" fontId="4" fillId="0" borderId="3" xfId="1" applyFont="1" applyBorder="1"/>
    <xf numFmtId="0" fontId="0" fillId="0" borderId="0" xfId="0" applyNumberFormat="1"/>
    <xf numFmtId="165" fontId="0" fillId="0" borderId="0" xfId="0" applyNumberFormat="1"/>
    <xf numFmtId="0" fontId="5" fillId="0" borderId="3" xfId="0" applyFont="1" applyBorder="1"/>
    <xf numFmtId="0" fontId="0" fillId="0" borderId="3" xfId="0" applyBorder="1"/>
    <xf numFmtId="0" fontId="4" fillId="0" borderId="3" xfId="1" applyFont="1" applyBorder="1" applyAlignment="1">
      <alignment horizontal="left" indent="9"/>
    </xf>
    <xf numFmtId="0" fontId="6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1DFFD020-6542-4DED-9947-1D98A40B717E}">
      <tableStyleElement type="wholeTable" dxfId="1"/>
      <tableStyleElement type="headerRow" dxfId="0"/>
    </tableStyle>
  </tableStyles>
  <colors>
    <mruColors>
      <color rgb="FF5BF6A8"/>
      <color rgb="FF22C55E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5BF6A8"/>
              <bgColor rgb="FF5BF6A8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DF-4840-8D0B-2A2B5F23FE8D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1DF-4840-8D0B-2A2B5F23FE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C̳álculos!$C$9:$C$11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C̳álculos!$D$9:$D$11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F-4840-8D0B-2A2B5F23F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9258303"/>
        <c:axId val="779258783"/>
      </c:barChart>
      <c:catAx>
        <c:axId val="779258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9258783"/>
        <c:crosses val="autoZero"/>
        <c:auto val="1"/>
        <c:lblAlgn val="ctr"/>
        <c:lblOffset val="100"/>
        <c:noMultiLvlLbl val="0"/>
      </c:catAx>
      <c:valAx>
        <c:axId val="77925878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7925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9180" y="5410199"/>
          <a:ext cx="1551381" cy="75438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102870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102870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232411</xdr:colOff>
      <xdr:row>0</xdr:row>
      <xdr:rowOff>0</xdr:rowOff>
    </xdr:from>
    <xdr:to>
      <xdr:col>2</xdr:col>
      <xdr:colOff>538028</xdr:colOff>
      <xdr:row>3</xdr:row>
      <xdr:rowOff>183814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E593B7-73C3-407D-8C09-71CF96A12A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58" r="72255"/>
        <a:stretch>
          <a:fillRect/>
        </a:stretch>
      </xdr:blipFill>
      <xdr:spPr>
        <a:xfrm>
          <a:off x="2088697" y="0"/>
          <a:ext cx="799285" cy="1366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131717</xdr:rowOff>
    </xdr:from>
    <xdr:to>
      <xdr:col>0</xdr:col>
      <xdr:colOff>1828800</xdr:colOff>
      <xdr:row>23</xdr:row>
      <xdr:rowOff>185873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7C5F788-22CD-4316-B11F-16A7252B6C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04110"/>
              <a:ext cx="1828800" cy="2721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40005</xdr:colOff>
      <xdr:row>7</xdr:row>
      <xdr:rowOff>27214</xdr:rowOff>
    </xdr:from>
    <xdr:to>
      <xdr:col>12</xdr:col>
      <xdr:colOff>1905</xdr:colOff>
      <xdr:row>16</xdr:row>
      <xdr:rowOff>34833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7A5C8482-C8C2-08CB-D423-0D266C3AAE02}"/>
            </a:ext>
          </a:extLst>
        </xdr:cNvPr>
        <xdr:cNvGrpSpPr/>
      </xdr:nvGrpSpPr>
      <xdr:grpSpPr>
        <a:xfrm>
          <a:off x="2380434" y="1912348"/>
          <a:ext cx="5894614" cy="1790971"/>
          <a:chOff x="2847975" y="1314450"/>
          <a:chExt cx="5905500" cy="1756409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CCFCD92D-AF59-D1A6-0DC4-2D6BF553A545}"/>
              </a:ext>
            </a:extLst>
          </xdr:cNvPr>
          <xdr:cNvSpPr/>
        </xdr:nvSpPr>
        <xdr:spPr>
          <a:xfrm>
            <a:off x="2847975" y="1323975"/>
            <a:ext cx="5888355" cy="15335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21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C2D37E3D-DFAD-4748-9CC9-2F4CF7266824}"/>
              </a:ext>
            </a:extLst>
          </xdr:cNvPr>
          <xdr:cNvSpPr/>
        </xdr:nvSpPr>
        <xdr:spPr>
          <a:xfrm>
            <a:off x="5122544" y="1811653"/>
            <a:ext cx="3209925" cy="100774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3DF722D-AB06-4509-B543-18EF0A7EF0CD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en-US" sz="4000" b="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B5CCAC20-812B-4F02-A3C4-DA3EE316BF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24224" y="1560194"/>
            <a:ext cx="1522095" cy="1510665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C7C19316-E094-E38A-82BC-404EE50D48D0}"/>
              </a:ext>
            </a:extLst>
          </xdr:cNvPr>
          <xdr:cNvSpPr/>
        </xdr:nvSpPr>
        <xdr:spPr>
          <a:xfrm>
            <a:off x="2855595" y="1314450"/>
            <a:ext cx="5897880" cy="45339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13</xdr:col>
      <xdr:colOff>154033</xdr:colOff>
      <xdr:row>7</xdr:row>
      <xdr:rowOff>27214</xdr:rowOff>
    </xdr:from>
    <xdr:to>
      <xdr:col>22</xdr:col>
      <xdr:colOff>536938</xdr:colOff>
      <xdr:row>15</xdr:row>
      <xdr:rowOff>67775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D82663EE-71F0-4A46-05B2-C566F2FCB519}"/>
            </a:ext>
          </a:extLst>
        </xdr:cNvPr>
        <xdr:cNvGrpSpPr/>
      </xdr:nvGrpSpPr>
      <xdr:grpSpPr>
        <a:xfrm>
          <a:off x="9036776" y="1912348"/>
          <a:ext cx="5869305" cy="1629875"/>
          <a:chOff x="9130665" y="1322070"/>
          <a:chExt cx="5871210" cy="1581706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2D84A8EC-5D48-4406-8A59-DB3D2D1AC48A}"/>
              </a:ext>
            </a:extLst>
          </xdr:cNvPr>
          <xdr:cNvGrpSpPr/>
        </xdr:nvGrpSpPr>
        <xdr:grpSpPr>
          <a:xfrm>
            <a:off x="9130665" y="1322070"/>
            <a:ext cx="5871210" cy="1583611"/>
            <a:chOff x="2847975" y="1312533"/>
            <a:chExt cx="5904063" cy="1603671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556CB08D-26CA-67E1-0A2B-54B9E2A1688B}"/>
                </a:ext>
              </a:extLst>
            </xdr:cNvPr>
            <xdr:cNvSpPr/>
          </xdr:nvSpPr>
          <xdr:spPr>
            <a:xfrm>
              <a:off x="2847975" y="1323975"/>
              <a:ext cx="5888355" cy="153352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G31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71A36487-7F5D-C504-616B-D6A4BB37E768}"/>
                </a:ext>
              </a:extLst>
            </xdr:cNvPr>
            <xdr:cNvSpPr/>
          </xdr:nvSpPr>
          <xdr:spPr>
            <a:xfrm>
              <a:off x="5122544" y="1908459"/>
              <a:ext cx="3209925" cy="1007745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C9023C44-F429-4D7C-9D39-D8D320B10A6F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t>R$ 940,00</a:t>
              </a:fld>
              <a:endParaRPr lang="en-US" sz="4000" b="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E84485B1-3E2B-C65F-DF67-286705301AAF}"/>
                </a:ext>
              </a:extLst>
            </xdr:cNvPr>
            <xdr:cNvSpPr/>
          </xdr:nvSpPr>
          <xdr:spPr>
            <a:xfrm>
              <a:off x="2855593" y="1312533"/>
              <a:ext cx="5896445" cy="45339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B2324B6C-2077-44F5-AB60-C9BFD219355C}"/>
              </a:ext>
            </a:extLst>
          </xdr:cNvPr>
          <xdr:cNvGrpSpPr/>
        </xdr:nvGrpSpPr>
        <xdr:grpSpPr>
          <a:xfrm>
            <a:off x="9700261" y="1920213"/>
            <a:ext cx="1381125" cy="716307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7F048DF3-6B1F-A10C-1F36-361E1304043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70A2B5EE-DD6A-5F46-26B1-BF6EACC3DAA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5443</xdr:colOff>
      <xdr:row>17</xdr:row>
      <xdr:rowOff>123553</xdr:rowOff>
    </xdr:from>
    <xdr:to>
      <xdr:col>23</xdr:col>
      <xdr:colOff>33233</xdr:colOff>
      <xdr:row>33</xdr:row>
      <xdr:rowOff>157843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51304745-78ED-33D4-9E77-6B6105294F4E}"/>
            </a:ext>
          </a:extLst>
        </xdr:cNvPr>
        <xdr:cNvGrpSpPr/>
      </xdr:nvGrpSpPr>
      <xdr:grpSpPr>
        <a:xfrm>
          <a:off x="2343967" y="3986077"/>
          <a:ext cx="12669914" cy="3169375"/>
          <a:chOff x="2454088" y="3217657"/>
          <a:chExt cx="12655251" cy="3046431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36D1B7D7-B3A7-1636-F48C-1014938C54F7}"/>
              </a:ext>
            </a:extLst>
          </xdr:cNvPr>
          <xdr:cNvGrpSpPr/>
        </xdr:nvGrpSpPr>
        <xdr:grpSpPr>
          <a:xfrm>
            <a:off x="2454088" y="3217657"/>
            <a:ext cx="12657156" cy="3046431"/>
            <a:chOff x="2447925" y="1531620"/>
            <a:chExt cx="5394960" cy="327279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08FAB57C-34F7-CFF1-EE00-20ADE250FC4C}"/>
                </a:ext>
              </a:extLst>
            </xdr:cNvPr>
            <xdr:cNvSpPr/>
          </xdr:nvSpPr>
          <xdr:spPr>
            <a:xfrm>
              <a:off x="2447925" y="1531620"/>
              <a:ext cx="5394960" cy="327279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C381B48-35F9-44DF-8793-C782891CBFA5}"/>
                </a:ext>
              </a:extLst>
            </xdr:cNvPr>
            <xdr:cNvGraphicFramePr>
              <a:graphicFrameLocks/>
            </xdr:cNvGraphicFramePr>
          </xdr:nvGraphicFramePr>
          <xdr:xfrm>
            <a:off x="2792730" y="1769745"/>
            <a:ext cx="4568190" cy="274701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637149D2-6769-4BE5-85B6-14427B1D1BB3}"/>
              </a:ext>
            </a:extLst>
          </xdr:cNvPr>
          <xdr:cNvSpPr/>
        </xdr:nvSpPr>
        <xdr:spPr>
          <a:xfrm>
            <a:off x="2454088" y="3217657"/>
            <a:ext cx="12640572" cy="45066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422636</xdr:colOff>
      <xdr:row>1</xdr:row>
      <xdr:rowOff>429440</xdr:rowOff>
    </xdr:from>
    <xdr:to>
      <xdr:col>0</xdr:col>
      <xdr:colOff>1428750</xdr:colOff>
      <xdr:row>5</xdr:row>
      <xdr:rowOff>27214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427C5E11-42ED-490C-BED4-0B566B0256B3}"/>
            </a:ext>
          </a:extLst>
        </xdr:cNvPr>
        <xdr:cNvSpPr/>
      </xdr:nvSpPr>
      <xdr:spPr>
        <a:xfrm>
          <a:off x="422636" y="619940"/>
          <a:ext cx="1006114" cy="985703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87086</xdr:colOff>
      <xdr:row>7</xdr:row>
      <xdr:rowOff>87085</xdr:rowOff>
    </xdr:from>
    <xdr:to>
      <xdr:col>0</xdr:col>
      <xdr:colOff>1687286</xdr:colOff>
      <xdr:row>8</xdr:row>
      <xdr:rowOff>152400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1871B7D6-F868-C249-FBD1-F8F3F7CF6BD1}"/>
            </a:ext>
          </a:extLst>
        </xdr:cNvPr>
        <xdr:cNvSpPr/>
      </xdr:nvSpPr>
      <xdr:spPr>
        <a:xfrm>
          <a:off x="87086" y="1513114"/>
          <a:ext cx="1600200" cy="28302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/>
            <a:t>Bem</a:t>
          </a:r>
          <a:r>
            <a:rPr lang="pt-BR" sz="1400" b="1" baseline="0"/>
            <a:t> vinda, Liana</a:t>
          </a:r>
          <a:endParaRPr lang="pt-BR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A" refreshedDate="46041.052164583336" createdVersion="8" refreshedVersion="8" minRefreshableVersion="3" recordCount="295" xr:uid="{39356768-976F-41C2-A410-BB241230B2FD}">
  <cacheSource type="worksheet">
    <worksheetSource name="Tabela1 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219809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50B2F-0E5E-4366-A0A6-106330F13B2D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27:D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2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CC3D2-A0A7-4A61-9136-D6AE1F5ECAB2}" name="tbl_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17:D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49595-D530-432C-A65B-38BD430DA2F6}" name="tb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8:D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D67A606-8595-4390-869B-825EB7E490D7}" sourceName="Subscription Type">
  <pivotTables>
    <pivotTable tabId="3" name="tbl_total"/>
    <pivotTable tabId="3" name="tbl_seasonpass_total"/>
    <pivotTable tabId="3" name="Tabela dinâmica3"/>
  </pivotTables>
  <data>
    <tabular pivotCacheId="152198090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14F4F81-D7FD-40E8-8EE9-939373715BB9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N30" sqref="N30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abSelected="1" zoomScale="90" zoomScaleNormal="90" workbookViewId="0">
      <selection activeCell="H29" sqref="H2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3:G31"/>
  <sheetViews>
    <sheetView showGridLines="0" workbookViewId="0">
      <selection activeCell="Y10" sqref="Y10"/>
    </sheetView>
  </sheetViews>
  <sheetFormatPr defaultRowHeight="15" x14ac:dyDescent="0.25"/>
  <cols>
    <col min="3" max="3" width="18.42578125" bestFit="1" customWidth="1"/>
    <col min="4" max="5" width="36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3:4" x14ac:dyDescent="0.25">
      <c r="C3" t="s">
        <v>316</v>
      </c>
    </row>
    <row r="4" spans="3:4" x14ac:dyDescent="0.25">
      <c r="C4" t="s">
        <v>317</v>
      </c>
    </row>
    <row r="6" spans="3:4" x14ac:dyDescent="0.25">
      <c r="C6" s="13" t="s">
        <v>16</v>
      </c>
      <c r="D6" t="s">
        <v>24</v>
      </c>
    </row>
    <row r="8" spans="3:4" x14ac:dyDescent="0.25">
      <c r="C8" s="13" t="s">
        <v>314</v>
      </c>
      <c r="D8" t="s">
        <v>313</v>
      </c>
    </row>
    <row r="9" spans="3:4" x14ac:dyDescent="0.25">
      <c r="C9" s="14" t="s">
        <v>23</v>
      </c>
      <c r="D9" s="12">
        <v>217</v>
      </c>
    </row>
    <row r="10" spans="3:4" x14ac:dyDescent="0.25">
      <c r="C10" s="14" t="s">
        <v>19</v>
      </c>
      <c r="D10" s="12">
        <v>1537</v>
      </c>
    </row>
    <row r="11" spans="3:4" x14ac:dyDescent="0.25">
      <c r="C11" s="14" t="s">
        <v>315</v>
      </c>
      <c r="D11" s="12">
        <v>1754</v>
      </c>
    </row>
    <row r="13" spans="3:4" x14ac:dyDescent="0.25">
      <c r="C13" s="14" t="s">
        <v>319</v>
      </c>
    </row>
    <row r="15" spans="3:4" x14ac:dyDescent="0.25">
      <c r="C15" s="13" t="s">
        <v>16</v>
      </c>
      <c r="D15" t="s">
        <v>24</v>
      </c>
    </row>
    <row r="17" spans="3:7" x14ac:dyDescent="0.25">
      <c r="C17" s="13" t="s">
        <v>314</v>
      </c>
      <c r="D17" t="s">
        <v>320</v>
      </c>
    </row>
    <row r="18" spans="3:7" x14ac:dyDescent="0.25">
      <c r="C18" s="14" t="s">
        <v>22</v>
      </c>
      <c r="D18" s="19">
        <v>0</v>
      </c>
    </row>
    <row r="19" spans="3:7" x14ac:dyDescent="0.25">
      <c r="C19" s="14" t="s">
        <v>26</v>
      </c>
      <c r="D19" s="19">
        <v>0</v>
      </c>
    </row>
    <row r="20" spans="3:7" x14ac:dyDescent="0.25">
      <c r="C20" s="14" t="s">
        <v>18</v>
      </c>
      <c r="D20" s="19">
        <v>600</v>
      </c>
    </row>
    <row r="21" spans="3:7" x14ac:dyDescent="0.25">
      <c r="C21" s="14" t="s">
        <v>315</v>
      </c>
      <c r="D21" s="19">
        <v>600</v>
      </c>
      <c r="G21" s="20">
        <f>GETPIVOTDATA("EA Play Season Pass
Price",$C$17)</f>
        <v>600</v>
      </c>
    </row>
    <row r="23" spans="3:7" x14ac:dyDescent="0.25">
      <c r="C23" s="14" t="s">
        <v>321</v>
      </c>
    </row>
    <row r="25" spans="3:7" x14ac:dyDescent="0.25">
      <c r="C25" s="13" t="s">
        <v>16</v>
      </c>
      <c r="D25" t="s">
        <v>24</v>
      </c>
    </row>
    <row r="27" spans="3:7" x14ac:dyDescent="0.25">
      <c r="C27" s="13" t="s">
        <v>314</v>
      </c>
      <c r="D27" t="s">
        <v>322</v>
      </c>
    </row>
    <row r="28" spans="3:7" x14ac:dyDescent="0.25">
      <c r="C28" s="14" t="s">
        <v>22</v>
      </c>
      <c r="D28" s="12">
        <v>0</v>
      </c>
    </row>
    <row r="29" spans="3:7" x14ac:dyDescent="0.25">
      <c r="C29" s="14" t="s">
        <v>26</v>
      </c>
      <c r="D29" s="12">
        <v>540</v>
      </c>
    </row>
    <row r="30" spans="3:7" x14ac:dyDescent="0.25">
      <c r="C30" s="14" t="s">
        <v>18</v>
      </c>
      <c r="D30" s="12">
        <v>400</v>
      </c>
    </row>
    <row r="31" spans="3:7" x14ac:dyDescent="0.25">
      <c r="C31" s="14" t="s">
        <v>315</v>
      </c>
      <c r="D31" s="12">
        <v>940</v>
      </c>
      <c r="G31" s="20">
        <f>GETPIVOTDATA("Minecraft Season Pass Price",$C$27)</f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53"/>
  <sheetViews>
    <sheetView showGridLines="0" zoomScale="70" zoomScaleNormal="70" workbookViewId="0">
      <selection activeCell="X21" sqref="X21"/>
    </sheetView>
  </sheetViews>
  <sheetFormatPr defaultRowHeight="15" x14ac:dyDescent="0.25"/>
  <cols>
    <col min="1" max="1" width="27.7109375" style="4" customWidth="1"/>
    <col min="2" max="2" width="7.28515625" customWidth="1"/>
    <col min="12" max="12" width="6.5703125" customWidth="1"/>
  </cols>
  <sheetData>
    <row r="1" spans="1:23" x14ac:dyDescent="0.25"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23" ht="60" customHeight="1" thickBot="1" x14ac:dyDescent="0.65">
      <c r="C2" s="23" t="s">
        <v>318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21"/>
      <c r="P2" s="22"/>
      <c r="Q2" s="22"/>
      <c r="R2" s="22"/>
      <c r="S2" s="22"/>
      <c r="T2" s="22"/>
      <c r="U2" s="22"/>
      <c r="V2" s="22"/>
      <c r="W2" s="22"/>
    </row>
    <row r="3" spans="1:23" s="15" customFormat="1" ht="18.75" customHeight="1" thickTop="1" x14ac:dyDescent="0.25">
      <c r="A3" s="4"/>
    </row>
    <row r="4" spans="1:23" s="7" customFormat="1" ht="15.75" customHeight="1" x14ac:dyDescent="0.25">
      <c r="A4" s="4"/>
    </row>
    <row r="5" spans="1:23" s="7" customFormat="1" ht="14.25" customHeight="1" x14ac:dyDescent="0.25">
      <c r="A5" s="4"/>
      <c r="C5" s="24" t="s">
        <v>323</v>
      </c>
    </row>
    <row r="6" spans="1:23" s="7" customFormat="1" ht="14.25" customHeight="1" x14ac:dyDescent="0.25">
      <c r="A6" s="4"/>
    </row>
    <row r="7" spans="1:23" s="7" customFormat="1" ht="9.75" customHeight="1" x14ac:dyDescent="0.25">
      <c r="A7" s="4"/>
    </row>
    <row r="8" spans="1:23" s="7" customFormat="1" ht="16.5" customHeight="1" x14ac:dyDescent="0.25">
      <c r="A8" s="4"/>
    </row>
    <row r="9" spans="1:23" s="7" customFormat="1" x14ac:dyDescent="0.25">
      <c r="A9" s="4"/>
    </row>
    <row r="10" spans="1:23" s="7" customFormat="1" x14ac:dyDescent="0.25">
      <c r="A10" s="4"/>
    </row>
    <row r="11" spans="1:23" s="7" customFormat="1" x14ac:dyDescent="0.25">
      <c r="A11" s="4"/>
    </row>
    <row r="12" spans="1:23" s="7" customFormat="1" x14ac:dyDescent="0.25">
      <c r="A12" s="4"/>
    </row>
    <row r="13" spans="1:23" s="7" customFormat="1" x14ac:dyDescent="0.25">
      <c r="A13" s="4"/>
    </row>
    <row r="14" spans="1:23" s="7" customFormat="1" x14ac:dyDescent="0.25">
      <c r="A14" s="4"/>
    </row>
    <row r="15" spans="1:23" s="7" customFormat="1" x14ac:dyDescent="0.25">
      <c r="A15" s="4"/>
    </row>
    <row r="16" spans="1:23" s="7" customFormat="1" x14ac:dyDescent="0.25">
      <c r="A16" s="4"/>
    </row>
    <row r="17" spans="1:2" s="7" customFormat="1" x14ac:dyDescent="0.25">
      <c r="A17" s="4"/>
    </row>
    <row r="18" spans="1:2" s="7" customFormat="1" x14ac:dyDescent="0.25">
      <c r="A18" s="4"/>
    </row>
    <row r="19" spans="1:2" s="7" customFormat="1" x14ac:dyDescent="0.25">
      <c r="A19" s="4"/>
    </row>
    <row r="20" spans="1:2" s="7" customFormat="1" x14ac:dyDescent="0.25">
      <c r="A20" s="4"/>
    </row>
    <row r="21" spans="1:2" s="7" customFormat="1" x14ac:dyDescent="0.25">
      <c r="A21" s="4"/>
    </row>
    <row r="22" spans="1:2" s="7" customFormat="1" x14ac:dyDescent="0.25">
      <c r="A22" s="4"/>
    </row>
    <row r="23" spans="1:2" s="7" customFormat="1" x14ac:dyDescent="0.25">
      <c r="A23" s="4"/>
    </row>
    <row r="24" spans="1:2" s="7" customFormat="1" x14ac:dyDescent="0.25">
      <c r="A24" s="4"/>
    </row>
    <row r="25" spans="1:2" s="7" customFormat="1" x14ac:dyDescent="0.25">
      <c r="A25" s="4"/>
    </row>
    <row r="26" spans="1:2" s="7" customFormat="1" x14ac:dyDescent="0.25">
      <c r="A26" s="4"/>
      <c r="B26" s="16"/>
    </row>
    <row r="27" spans="1:2" s="7" customFormat="1" x14ac:dyDescent="0.25">
      <c r="A27" s="4"/>
    </row>
    <row r="28" spans="1:2" s="7" customFormat="1" x14ac:dyDescent="0.25">
      <c r="A28" s="4"/>
    </row>
    <row r="29" spans="1:2" s="7" customFormat="1" x14ac:dyDescent="0.25">
      <c r="A29" s="4"/>
    </row>
    <row r="30" spans="1:2" s="7" customFormat="1" x14ac:dyDescent="0.25">
      <c r="A30" s="4"/>
    </row>
    <row r="31" spans="1:2" s="7" customFormat="1" x14ac:dyDescent="0.25">
      <c r="A31" s="4"/>
    </row>
    <row r="32" spans="1:2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Fernanda Lemos Avila</cp:lastModifiedBy>
  <dcterms:created xsi:type="dcterms:W3CDTF">2024-12-19T13:13:10Z</dcterms:created>
  <dcterms:modified xsi:type="dcterms:W3CDTF">2026-01-19T13:38:08Z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